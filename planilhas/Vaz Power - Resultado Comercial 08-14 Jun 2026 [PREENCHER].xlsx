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ercial 08-14 Ju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A$&quot;#,##0.00"/>
  </numFmts>
  <fonts count="14">
    <font>
      <name val="Calibri"/>
      <family val="2"/>
      <color theme="1"/>
      <sz val="11"/>
      <scheme val="minor"/>
    </font>
    <font>
      <name val="Calibri"/>
      <b val="1"/>
      <color rgb="000F1730"/>
      <sz val="16"/>
    </font>
    <font>
      <name val="Calibri"/>
      <color rgb="0044506B"/>
      <sz val="10"/>
    </font>
    <font>
      <name val="Calibri"/>
      <b val="1"/>
      <color rgb="000F1730"/>
      <sz val="12"/>
    </font>
    <font>
      <name val="Calibri"/>
      <i val="1"/>
      <color rgb="008A6D00"/>
      <sz val="10"/>
    </font>
    <font>
      <name val="Calibri"/>
      <b val="1"/>
      <color rgb="001A2233"/>
      <sz val="11"/>
    </font>
    <font>
      <name val="Calibri"/>
      <color rgb="001A2233"/>
      <sz val="11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0F7A3D"/>
      <sz val="11"/>
    </font>
    <font>
      <name val="Calibri"/>
      <i val="1"/>
      <color rgb="0044506B"/>
      <sz val="11"/>
    </font>
    <font>
      <name val="Calibri"/>
      <b val="1"/>
      <color rgb="008A6D00"/>
      <sz val="11"/>
    </font>
    <font>
      <name val="Calibri"/>
      <i val="1"/>
      <color rgb="008A6D00"/>
      <sz val="9"/>
    </font>
    <font>
      <name val="Calibri"/>
      <i val="1"/>
      <color rgb="006B7FA3"/>
      <sz val="9"/>
    </font>
  </fonts>
  <fills count="9">
    <fill>
      <patternFill/>
    </fill>
    <fill>
      <patternFill patternType="gray125"/>
    </fill>
    <fill>
      <patternFill patternType="solid">
        <fgColor rgb="00F5B800"/>
      </patternFill>
    </fill>
    <fill>
      <patternFill patternType="solid">
        <fgColor rgb="00EAF0FF"/>
      </patternFill>
    </fill>
    <fill>
      <patternFill patternType="solid">
        <fgColor rgb="00FFF8DE"/>
      </patternFill>
    </fill>
    <fill>
      <patternFill patternType="solid">
        <fgColor rgb="00FFF3B0"/>
      </patternFill>
    </fill>
    <fill>
      <patternFill patternType="solid">
        <fgColor rgb="000F1730"/>
      </patternFill>
    </fill>
    <fill>
      <patternFill patternType="solid">
        <fgColor rgb="001B2540"/>
      </patternFill>
    </fill>
    <fill>
      <patternFill patternType="solid">
        <fgColor rgb="00DEF7E9"/>
      </patternFill>
    </fill>
  </fills>
  <borders count="2">
    <border>
      <left/>
      <right/>
      <top/>
      <bottom/>
      <diagonal/>
    </border>
    <border>
      <left style="thin">
        <color rgb="00C9D3E8"/>
      </left>
      <right style="thin">
        <color rgb="00C9D3E8"/>
      </right>
      <top style="thin">
        <color rgb="00C9D3E8"/>
      </top>
      <bottom style="thin">
        <color rgb="00C9D3E8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/>
    </xf>
    <xf numFmtId="9" fontId="6" fillId="8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9" fontId="6" fillId="0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164" fontId="11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  <col width="22" customWidth="1" min="4" max="4"/>
    <col width="22" customWidth="1" min="5" max="5"/>
    <col width="26" customWidth="1" min="6" max="6"/>
  </cols>
  <sheetData>
    <row r="1" ht="30" customHeight="1">
      <c r="A1" s="1" t="inlineStr">
        <is>
          <t>RESULTADO COMERCIAL — VAZ POWER REMOVALS</t>
        </is>
      </c>
    </row>
    <row r="2">
      <c r="A2" s="2" t="inlineStr">
        <is>
          <t>Removals &amp; Storage · Brisbane, AU  |  Gestão de Tráfego Pago por Fabricio Kaempf</t>
        </is>
      </c>
    </row>
    <row r="3" ht="22" customHeight="1">
      <c r="A3" s="3" t="inlineStr">
        <is>
          <t>Período: 08/06/2026 a 14/06/2026     ·     Semana 2</t>
        </is>
      </c>
    </row>
    <row r="4" ht="28" customHeight="1">
      <c r="A4" s="4" t="inlineStr">
        <is>
          <t>INSTRUÇÕES: preencha SOMENTE as células AMARELAS. As demais já estão preenchidas ou são calculadas automaticamente. Dúvidas: falar com Fabricio.</t>
        </is>
      </c>
    </row>
    <row r="6">
      <c r="A6" s="5" t="inlineStr">
        <is>
          <t>Preenchido por:</t>
        </is>
      </c>
      <c r="B6" s="6" t="n"/>
      <c r="C6" s="6" t="n"/>
    </row>
    <row r="7">
      <c r="A7" s="5" t="inlineStr">
        <is>
          <t>Data do preenchimento:</t>
        </is>
      </c>
      <c r="B7" s="6" t="n"/>
      <c r="C7" s="6" t="n"/>
    </row>
    <row r="9" ht="24" customHeight="1">
      <c r="A9" s="7" t="inlineStr">
        <is>
          <t>1 · FUNIL DE LEADS</t>
        </is>
      </c>
    </row>
    <row r="10">
      <c r="A10" s="8" t="inlineStr">
        <is>
          <t>Etapa</t>
        </is>
      </c>
      <c r="B10" s="8" t="inlineStr">
        <is>
          <t>Quantidade</t>
        </is>
      </c>
      <c r="C10" s="8" t="inlineStr">
        <is>
          <t>Taxa de Conversão</t>
        </is>
      </c>
      <c r="D10" s="8" t="inlineStr">
        <is>
          <t>Observações</t>
        </is>
      </c>
    </row>
    <row r="11">
      <c r="A11" s="9" t="inlineStr">
        <is>
          <t>Leads Gerados (formulários + ligações)</t>
        </is>
      </c>
      <c r="B11" s="10" t="n">
        <v>49</v>
      </c>
      <c r="C11" s="11" t="n">
        <v>1</v>
      </c>
      <c r="D11" s="12" t="inlineStr">
        <is>
          <t>Já preenchido — dados Google Ads + Meta Ads (45 forms + 4 ligações)</t>
        </is>
      </c>
    </row>
    <row r="12">
      <c r="A12" s="13" t="inlineStr">
        <is>
          <t>Leads Respondidos</t>
        </is>
      </c>
      <c r="B12" s="14" t="n"/>
      <c r="C12" s="15">
        <f>IFERROR(B12/$B$11,"")</f>
        <v/>
      </c>
      <c r="D12" s="13" t="inlineStr"/>
    </row>
    <row r="13">
      <c r="A13" s="13" t="inlineStr">
        <is>
          <t>Orçamentos Enviados</t>
        </is>
      </c>
      <c r="B13" s="14" t="n"/>
      <c r="C13" s="15">
        <f>IFERROR(B13/$B$11,"")</f>
        <v/>
      </c>
      <c r="D13" s="13" t="inlineStr"/>
    </row>
    <row r="14">
      <c r="A14" s="13" t="inlineStr">
        <is>
          <t>Fechamentos (jobs confirmados)</t>
        </is>
      </c>
      <c r="B14" s="14" t="n"/>
      <c r="C14" s="15">
        <f>IFERROR(B14/$B$11,"")</f>
        <v/>
      </c>
      <c r="D14" s="13" t="inlineStr"/>
    </row>
    <row r="16" ht="24" customHeight="1">
      <c r="A16" s="7" t="inlineStr">
        <is>
          <t>2 · FECHAMENTOS POR TIPO DE TRABALHO</t>
        </is>
      </c>
    </row>
    <row r="17">
      <c r="A17" s="8" t="inlineStr">
        <is>
          <t>Tipo</t>
        </is>
      </c>
      <c r="B17" s="8" t="inlineStr">
        <is>
          <t>Nº de Jobs</t>
        </is>
      </c>
      <c r="C17" s="8" t="inlineStr">
        <is>
          <t>Receita Total (AUD)</t>
        </is>
      </c>
      <c r="D17" s="8" t="inlineStr">
        <is>
          <t>Ticket Médio / Job (auto)</t>
        </is>
      </c>
      <c r="E17" s="8" t="inlineStr">
        <is>
          <t>Origem dos Leads</t>
        </is>
      </c>
      <c r="F17" s="8" t="inlineStr">
        <is>
          <t>Observações</t>
        </is>
      </c>
    </row>
    <row r="18">
      <c r="A18" s="13" t="inlineStr">
        <is>
          <t>Local Move (Brisbane)</t>
        </is>
      </c>
      <c r="B18" s="14" t="n"/>
      <c r="C18" s="16" t="n"/>
      <c r="D18" s="17">
        <f>IFERROR(C18/B18,"")</f>
        <v/>
      </c>
      <c r="E18" s="6" t="n"/>
      <c r="F18" s="6" t="n"/>
    </row>
    <row r="19">
      <c r="A19" s="13" t="inlineStr">
        <is>
          <t>Interstate</t>
        </is>
      </c>
      <c r="B19" s="14" t="n"/>
      <c r="C19" s="16" t="n"/>
      <c r="D19" s="17">
        <f>IFERROR(C19/B19,"")</f>
        <v/>
      </c>
      <c r="E19" s="6" t="n"/>
      <c r="F19" s="6" t="n"/>
    </row>
    <row r="20">
      <c r="A20" s="13" t="inlineStr">
        <is>
          <t>Storage</t>
        </is>
      </c>
      <c r="B20" s="14" t="n"/>
      <c r="C20" s="16" t="n"/>
      <c r="D20" s="17">
        <f>IFERROR(C20/B20,"")</f>
        <v/>
      </c>
      <c r="E20" s="6" t="n"/>
      <c r="F20" s="6" t="n"/>
    </row>
    <row r="21">
      <c r="A21" s="18" t="inlineStr">
        <is>
          <t>TOTAL</t>
        </is>
      </c>
      <c r="B21" s="19">
        <f>SUM(B18:B20)</f>
        <v/>
      </c>
      <c r="C21" s="20">
        <f>SUM(C18:C20)</f>
        <v/>
      </c>
      <c r="D21" s="20">
        <f>IFERROR(C21/B21,"")</f>
        <v/>
      </c>
      <c r="E21" s="21" t="inlineStr"/>
      <c r="F21" s="21" t="inlineStr"/>
    </row>
    <row r="23">
      <c r="A23" s="22" t="inlineStr">
        <is>
          <t>Investimento em mídia na semana</t>
        </is>
      </c>
      <c r="B23" s="23" t="n">
        <v>2889.74</v>
      </c>
      <c r="C23" s="24" t="inlineStr">
        <is>
          <t>Custo de aquisição por job (auto)</t>
        </is>
      </c>
      <c r="E23" s="25">
        <f>IFERROR(B23/B21,"")</f>
        <v/>
      </c>
      <c r="F23" s="26" t="inlineStr">
        <is>
          <t>Quanto custou (em anúncios) cada job fechado</t>
        </is>
      </c>
    </row>
    <row r="25" ht="24" customHeight="1">
      <c r="A25" s="7" t="inlineStr">
        <is>
          <t>3 · STATUS DO PIPELINE (fim da semana)</t>
        </is>
      </c>
    </row>
    <row r="26">
      <c r="A26" s="8" t="inlineStr">
        <is>
          <t>Status</t>
        </is>
      </c>
      <c r="B26" s="8" t="inlineStr">
        <is>
          <t>Quantidade</t>
        </is>
      </c>
      <c r="C26" s="8" t="inlineStr">
        <is>
          <t>Observações</t>
        </is>
      </c>
    </row>
    <row r="27">
      <c r="A27" s="13" t="inlineStr">
        <is>
          <t>Fechados</t>
        </is>
      </c>
      <c r="B27" s="14" t="n"/>
      <c r="C27" s="13" t="inlineStr"/>
    </row>
    <row r="28">
      <c r="A28" s="13" t="inlineStr">
        <is>
          <t>Orçamento Enviado / Aguardando</t>
        </is>
      </c>
      <c r="B28" s="14" t="n"/>
      <c r="C28" s="13" t="inlineStr"/>
    </row>
    <row r="29">
      <c r="A29" s="13" t="inlineStr">
        <is>
          <t>Em Negociação / Shadow</t>
        </is>
      </c>
      <c r="B29" s="14" t="n"/>
      <c r="C29" s="13" t="inlineStr"/>
    </row>
    <row r="30">
      <c r="A30" s="13" t="inlineStr">
        <is>
          <t>Perdidos</t>
        </is>
      </c>
      <c r="B30" s="14" t="n"/>
      <c r="C30" s="13" t="inlineStr"/>
    </row>
    <row r="31">
      <c r="A31" s="13" t="inlineStr">
        <is>
          <t>Sem Resposta (lead fria)</t>
        </is>
      </c>
      <c r="B31" s="14" t="n"/>
      <c r="C31" s="13" t="inlineStr"/>
    </row>
    <row r="32">
      <c r="A32" s="18" t="inlineStr">
        <is>
          <t>TOTAL</t>
        </is>
      </c>
      <c r="B32" s="19">
        <f>SUM(B27:B31)</f>
        <v/>
      </c>
      <c r="C32" s="27" t="inlineStr">
        <is>
          <t>Idealmente reconcilia com os 49 leads gerados</t>
        </is>
      </c>
    </row>
    <row r="34" ht="24" customHeight="1">
      <c r="A34" s="7" t="inlineStr">
        <is>
          <t>4 · MOTIVOS DE PERDA</t>
        </is>
      </c>
    </row>
    <row r="35">
      <c r="A35" s="8" t="inlineStr">
        <is>
          <t>Motivo</t>
        </is>
      </c>
      <c r="B35" s="8" t="inlineStr">
        <is>
          <t>Quantidade</t>
        </is>
      </c>
      <c r="C35" s="8" t="inlineStr">
        <is>
          <t>Observações</t>
        </is>
      </c>
    </row>
    <row r="36">
      <c r="A36" s="13" t="inlineStr">
        <is>
          <t>Preço acima do esperado</t>
        </is>
      </c>
      <c r="B36" s="14" t="n"/>
      <c r="C36" s="13" t="inlineStr"/>
    </row>
    <row r="37">
      <c r="A37" s="13" t="inlineStr">
        <is>
          <t>Data / timing incompatível</t>
        </is>
      </c>
      <c r="B37" s="14" t="n"/>
      <c r="C37" s="13" t="inlineStr"/>
    </row>
    <row r="38">
      <c r="A38" s="13" t="inlineStr">
        <is>
          <t>Escolheu concorrente</t>
        </is>
      </c>
      <c r="B38" s="14" t="n"/>
      <c r="C38" s="13" t="inlineStr"/>
    </row>
    <row r="39">
      <c r="A39" s="13" t="inlineStr">
        <is>
          <t>Lead não qualificado (fora da área / sem interesse real)</t>
        </is>
      </c>
      <c r="B39" s="14" t="n"/>
      <c r="C39" s="13" t="inlineStr"/>
    </row>
    <row r="40">
      <c r="A40" s="13" t="inlineStr">
        <is>
          <t>Sem retorno após contato</t>
        </is>
      </c>
      <c r="B40" s="14" t="n"/>
      <c r="C40" s="13" t="inlineStr"/>
    </row>
    <row r="41">
      <c r="A41" s="13" t="inlineStr">
        <is>
          <t>Outros / Não identificado</t>
        </is>
      </c>
      <c r="B41" s="14" t="n"/>
      <c r="C41" s="13" t="inlineStr"/>
    </row>
    <row r="42">
      <c r="A42" s="18" t="inlineStr">
        <is>
          <t>TOTAL</t>
        </is>
      </c>
      <c r="B42" s="19">
        <f>SUM(B36:B41)</f>
        <v/>
      </c>
      <c r="C42" s="21" t="inlineStr"/>
    </row>
    <row r="44" ht="24" customHeight="1">
      <c r="A44" s="7" t="inlineStr">
        <is>
          <t>5 · OBSERVAÇÕES GERAIS</t>
        </is>
      </c>
    </row>
    <row r="45">
      <c r="A45" s="28" t="inlineStr">
        <is>
          <t>Qualidade dos leads, feedbacks de clientes, pontos de atenção da semana:</t>
        </is>
      </c>
    </row>
    <row r="46">
      <c r="A46" s="29" t="inlineStr"/>
    </row>
    <row r="47"/>
    <row r="48"/>
    <row r="49"/>
    <row r="51">
      <c r="A51" s="30" t="inlineStr">
        <is>
          <t>Planilha gerada por Fabricio Kaempf · Kaempf Business  |  Para enviar: responder o relatório semanal com este arquivo preenchido.</t>
        </is>
      </c>
    </row>
  </sheetData>
  <mergeCells count="32">
    <mergeCell ref="A16:F16"/>
    <mergeCell ref="D11:F11"/>
    <mergeCell ref="D13:F13"/>
    <mergeCell ref="B7:C7"/>
    <mergeCell ref="C39:F39"/>
    <mergeCell ref="C38:F38"/>
    <mergeCell ref="C32:F32"/>
    <mergeCell ref="A3:F3"/>
    <mergeCell ref="C37:F37"/>
    <mergeCell ref="C28:F28"/>
    <mergeCell ref="A2:F2"/>
    <mergeCell ref="D12:F12"/>
    <mergeCell ref="C30:F30"/>
    <mergeCell ref="A4:F4"/>
    <mergeCell ref="C42:F42"/>
    <mergeCell ref="D14:F14"/>
    <mergeCell ref="A44:F44"/>
    <mergeCell ref="A46:F49"/>
    <mergeCell ref="A9:F9"/>
    <mergeCell ref="C29:F29"/>
    <mergeCell ref="A34:F34"/>
    <mergeCell ref="C41:F41"/>
    <mergeCell ref="C23:D23"/>
    <mergeCell ref="C40:F40"/>
    <mergeCell ref="B6:C6"/>
    <mergeCell ref="A51:F51"/>
    <mergeCell ref="C31:F31"/>
    <mergeCell ref="A1:F1"/>
    <mergeCell ref="A45:F45"/>
    <mergeCell ref="C27:F27"/>
    <mergeCell ref="C36:F36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2026-06-15T12:08:50Z</dcterms:created>
  <dcterms:modified xsi:type="dcterms:W3CDTF">2026-06-15T12:08:50Z</dcterms:modified>
</cp:coreProperties>
</file>